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a0e6f6cfe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cc86cf1c77794d73"/>
    <x:sheet xmlns:r="http://schemas.openxmlformats.org/officeDocument/2006/relationships" name="Diseño VLSM" sheetId="2" r:id="Ra57c47bf9e6e4a2a"/>
    <x:sheet xmlns:r="http://schemas.openxmlformats.org/officeDocument/2006/relationships" name="Asignación operativa" sheetId="3" r:id="R19a88ff8e105489b"/>
    <x:sheet xmlns:r="http://schemas.openxmlformats.org/officeDocument/2006/relationships" name="Justificación" sheetId="4" r:id="R956a006880944e01"/>
    <x:sheet xmlns:r="http://schemas.openxmlformats.org/officeDocument/2006/relationships" name="Comprobaciones" sheetId="5" r:id="R96036fb8613d4a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6"/>
      <x:color rgb="FF17365D"/>
      <x:name val="Carlito"/>
    </x:font>
    <x:font>
      <x:i/>
      <x:sz val="13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</x:fills>
  <x:borders count="12">
    <x:border/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6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200" fontId="0" fillId="6" borderId="6" xfId="0" applyNumberFormat="1" applyFont="1" applyFill="1" applyBorder="1" applyAlignment="1">
      <x:alignment vertical="center" wrapText="1"/>
    </x:xf>
    <x:xf numFmtId="200" fontId="0" fillId="4" borderId="8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8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200" fontId="0" fillId="4" borderId="11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horizontal="center" vertical="center" wrapText="1"/>
    </x:xf>
    <x:xf numFmtId="200" fontId="0" fillId="6" borderId="6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200" fontId="0" fillId="4" borderId="8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200" fontId="0" fillId="6" borderId="8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 applyAlignment="1">
      <x:alignment horizontal="center" vertical="center" wrapText="1"/>
    </x:xf>
    <x:xf numFmtId="200" fontId="0" fillId="4" borderId="11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2" borderId="4" xfId="0" applyNumberFormat="1" applyFont="1" applyFill="1" applyBorder="1" applyAlignment="1">
      <x:alignment vertical="center" wrapText="1"/>
    </x:xf>
    <x:xf numFmtId="0" fontId="0" fillId="2" borderId="7" xfId="0" applyNumberFormat="1" applyFont="1" applyFill="1" applyBorder="1" applyAlignment="1">
      <x:alignment vertical="center" wrapText="1"/>
    </x:xf>
    <x:xf numFmtId="0" fontId="0" fillId="2" borderId="9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0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10" xfId="0" applyNumberFormat="1" applyFont="1" applyFill="1" applyBorder="1" applyAlignment="1">
      <x:alignment horizontal="center"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0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ad59377ee485d" /><Relationship Type="http://schemas.openxmlformats.org/officeDocument/2006/relationships/theme" Target="/xl/theme/theme1.xml" Id="R343b640bb41843af" /><Relationship Type="http://schemas.openxmlformats.org/officeDocument/2006/relationships/sharedStrings" Target="/xl/sharedStrings.xml" Id="R8a82e326cdda4a74" /><Relationship Type="http://schemas.openxmlformats.org/officeDocument/2006/relationships/worksheet" Target="/xl/worksheets/sheet1.xml" Id="Rcc86cf1c77794d73" /><Relationship Type="http://schemas.openxmlformats.org/officeDocument/2006/relationships/worksheet" Target="/xl/worksheets/sheet2.xml" Id="Ra57c47bf9e6e4a2a" /><Relationship Type="http://schemas.openxmlformats.org/officeDocument/2006/relationships/worksheet" Target="/xl/worksheets/sheet3.xml" Id="R19a88ff8e105489b" /><Relationship Type="http://schemas.openxmlformats.org/officeDocument/2006/relationships/worksheet" Target="/xl/worksheets/sheet4.xml" Id="R956a006880944e01" /><Relationship Type="http://schemas.openxmlformats.org/officeDocument/2006/relationships/worksheet" Target="/xl/worksheets/sheet5.xml" Id="R96036fb8613d4a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9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Actividad Reto 04: Diseño lógico de la red</x:v>
      </x:c>
    </x:row>
    <x:row r="2" ht="34" customHeight="1"/>
    <x:row r="4">
      <x:c r="A4" s="6" t="str">
        <x:v>XXV Olimpiada Mexicana de Informática</x:v>
      </x:c>
    </x:row>
    <x:row r="5">
      <x:c r="A5" s="8" t="str">
        <x:v>Tec de Monterrey Campus Chihuahua</x:v>
      </x:c>
    </x:row>
    <x:row r="7" ht="24" customHeight="1">
      <x:c r="A7" s="12" t="str">
        <x:v>Equipo de trabajo</x:v>
      </x:c>
    </x:row>
    <x:row r="8">
      <x:c r="A8" s="23" t="str">
        <x:v>Integrante</x:v>
      </x:c>
      <x:c r="B8" s="24" t="str">
        <x:v>Matrícula</x:v>
      </x:c>
      <x:c r="C8" s="24"/>
      <x:c r="D8" s="24"/>
      <x:c r="E8" s="24"/>
      <x:c r="F8" s="24"/>
      <x:c r="G8" s="24"/>
      <x:c r="H8" s="25"/>
    </x:row>
    <x:row r="9" ht="30" customHeight="1">
      <x:c r="A9" s="44" t="str">
        <x:v>Mirka Giselle Gutierrez Uriarte</x:v>
      </x:c>
      <x:c r="B9" s="45" t="str">
        <x:v>A01564135</x:v>
      </x:c>
      <x:c r="C9" s="45"/>
      <x:c r="D9" s="45"/>
      <x:c r="E9" s="45"/>
      <x:c r="F9" s="45"/>
      <x:c r="G9" s="45"/>
      <x:c r="H9" s="46"/>
    </x:row>
    <x:row r="10" ht="30" customHeight="1">
      <x:c r="A10" s="47" t="str">
        <x:v>Paola Regina Lechuga Esparza</x:v>
      </x:c>
      <x:c r="B10" s="48" t="str">
        <x:v>A01569279</x:v>
      </x:c>
      <x:c r="C10" s="48"/>
      <x:c r="D10" s="48"/>
      <x:c r="E10" s="48"/>
      <x:c r="F10" s="48"/>
      <x:c r="G10" s="48"/>
      <x:c r="H10" s="49"/>
    </x:row>
    <x:row r="11" ht="30" customHeight="1">
      <x:c r="A11" s="47" t="str">
        <x:v>Ilse Paola Cruz Fernandez</x:v>
      </x:c>
      <x:c r="B11" s="48" t="str">
        <x:v>A01562692</x:v>
      </x:c>
      <x:c r="C11" s="48"/>
      <x:c r="D11" s="48"/>
      <x:c r="E11" s="48"/>
      <x:c r="F11" s="48"/>
      <x:c r="G11" s="48"/>
      <x:c r="H11" s="49"/>
    </x:row>
    <x:row r="12">
      <x:c r="A12" s="50" t="str">
        <x:v>Curso</x:v>
      </x:c>
      <x:c r="B12" s="51" t="str">
        <x:v>Interconexión de dispositivos · Grupo 301</x:v>
      </x:c>
      <x:c r="C12" s="51"/>
      <x:c r="D12" s="51"/>
      <x:c r="E12" s="51" t="str">
        <x:v>Profesor</x:v>
      </x:c>
      <x:c r="F12" s="51" t="str">
        <x:v>Mtro. Faustino Bejarano Romero</x:v>
      </x:c>
      <x:c r="G12" s="51"/>
      <x:c r="H12" s="52"/>
    </x:row>
    <x:row r="14" ht="24" customHeight="1">
      <x:c r="A14" s="12" t="str">
        <x:v>Datos del diseño</x:v>
      </x:c>
    </x:row>
    <x:row r="15">
      <x:c r="A15" s="58" t="str">
        <x:v>Equipo asignado</x:v>
      </x:c>
      <x:c r="B15" s="45" t="str">
        <x:v>Equipo 04</x:v>
      </x:c>
      <x:c r="C15" s="45"/>
      <x:c r="D15" s="45"/>
      <x:c r="E15" s="61" t="str">
        <x:v>Bloque asignado</x:v>
      </x:c>
      <x:c r="F15" s="45" t="str">
        <x:v>172.23.24.0/21</x:v>
      </x:c>
      <x:c r="G15" s="45"/>
      <x:c r="H15" s="46"/>
    </x:row>
    <x:row r="16">
      <x:c r="A16" s="59" t="str">
        <x:v>Rango total</x:v>
      </x:c>
      <x:c r="B16" s="48" t="str">
        <x:v>172.23.24.0 – 172.23.31.255</x:v>
      </x:c>
      <x:c r="C16" s="48"/>
      <x:c r="D16" s="48"/>
      <x:c r="E16" s="62" t="str">
        <x:v>Direcciones totales</x:v>
      </x:c>
      <x:c r="F16" s="48" t="n">
        <x:v>2048</x:v>
      </x:c>
      <x:c r="G16" s="48"/>
      <x:c r="H16" s="49"/>
    </x:row>
    <x:row r="17">
      <x:c r="A17" s="59" t="str">
        <x:v>Método</x:v>
      </x:c>
      <x:c r="B17" s="48" t="str">
        <x:v>VLSM</x:v>
      </x:c>
      <x:c r="C17" s="48"/>
      <x:c r="D17" s="48"/>
      <x:c r="E17" s="62" t="str">
        <x:v>Fecha de entrega</x:v>
      </x:c>
      <x:c r="F17" s="48" t="str">
        <x:v>12 de junio de 2026</x:v>
      </x:c>
      <x:c r="G17" s="48"/>
      <x:c r="H17" s="49"/>
    </x:row>
    <x:row r="18">
      <x:c r="A18" s="60" t="str">
        <x:v>Objetivo</x:v>
      </x:c>
      <x:c r="B18" s="51" t="str">
        <x:v>Asignar subredes privadas suficientes y administrables a cada segmento de la red OMI.</x:v>
      </x:c>
      <x:c r="C18" s="51"/>
      <x:c r="D18" s="51"/>
      <x:c r="E18" s="51"/>
      <x:c r="F18" s="51"/>
      <x:c r="G18" s="51"/>
      <x:c r="H18" s="52"/>
    </x:row>
  </x:sheetData>
  <x:mergeCells>
    <x:mergeCell ref="A1:H2"/>
    <x:mergeCell ref="A4:H4"/>
    <x:mergeCell ref="A5:H5"/>
    <x:mergeCell ref="A7:H7"/>
    <x:mergeCell ref="B12:D12"/>
    <x:mergeCell ref="F12:H12"/>
    <x:mergeCell ref="A14:H14"/>
    <x:mergeCell ref="B15:D15"/>
    <x:mergeCell ref="F15:H15"/>
    <x:mergeCell ref="B16:D16"/>
    <x:mergeCell ref="F16:H16"/>
    <x:mergeCell ref="B17:D17"/>
    <x:mergeCell ref="F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9" hidden="0" customWidth="1"/>
    <x:col min="3" max="3" width="12" hidden="0" customWidth="1"/>
    <x:col min="4" max="4" width="18" hidden="0" customWidth="1"/>
    <x:col min="5" max="5" width="17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3" hidden="0" customWidth="1"/>
    <x:col min="11" max="11" width="12" hidden="0" customWidth="1"/>
    <x:col min="12" max="12" width="13" hidden="0" customWidth="1"/>
  </x:cols>
  <x:sheetData>
    <x:row r="1" ht="34" customHeight="1">
      <x:c r="A1" s="4" t="str">
        <x:v>Propuesta de direccionamiento IPv4 mediante VLSM</x:v>
      </x:c>
    </x:row>
    <x:row r="2" ht="34" customHeight="1"/>
    <x:row r="3">
      <x:c r="A3" s="65" t="str">
        <x:v>Dirección IP seleccionada: 172.23.24.0/21 · Equipo 04</x:v>
      </x:c>
    </x:row>
    <x:row r="5" ht="44" customHeight="1">
      <x:c r="A5" s="23" t="str">
        <x:v>Segmento</x:v>
      </x:c>
      <x:c r="B5" s="24" t="str">
        <x:v>Hosts requeridos</x:v>
      </x:c>
      <x:c r="C5" s="24" t="str">
        <x:v>Prefijo</x:v>
      </x:c>
      <x:c r="D5" s="24" t="str">
        <x:v>Máscara decimal</x:v>
      </x:c>
      <x:c r="E5" s="24" t="str">
        <x:v>Dirección de red</x:v>
      </x:c>
      <x:c r="F5" s="24" t="str">
        <x:v>Primera IP válida</x:v>
      </x:c>
      <x:c r="G5" s="24" t="str">
        <x:v>Última IP válida</x:v>
      </x:c>
      <x:c r="H5" s="24" t="str">
        <x:v>Broadcast</x:v>
      </x:c>
      <x:c r="I5" s="24" t="str">
        <x:v>Gateway sugerido</x:v>
      </x:c>
      <x:c r="J5" s="24" t="str">
        <x:v>Hosts útiles</x:v>
      </x:c>
      <x:c r="K5" s="24" t="str">
        <x:v>Reserva</x:v>
      </x:c>
      <x:c r="L5" s="25" t="str">
        <x:v>Utilización</x:v>
      </x:c>
    </x:row>
    <x:row r="6">
      <x:c r="A6" s="76" t="str">
        <x:v>Concursantes</x:v>
      </x:c>
      <x:c r="B6" s="85" t="n">
        <x:v>330</x:v>
      </x:c>
      <x:c r="C6" s="85" t="str">
        <x:v>/23</x:v>
      </x:c>
      <x:c r="D6" s="85" t="str">
        <x:v>255.255.254.0</x:v>
      </x:c>
      <x:c r="E6" s="85" t="str">
        <x:v>172.23.24.0</x:v>
      </x:c>
      <x:c r="F6" s="85" t="str">
        <x:v>172.23.24.1</x:v>
      </x:c>
      <x:c r="G6" s="85" t="str">
        <x:v>172.23.25.254</x:v>
      </x:c>
      <x:c r="H6" s="85" t="str">
        <x:v>172.23.25.255</x:v>
      </x:c>
      <x:c r="I6" s="85" t="str">
        <x:v>172.23.24.1</x:v>
      </x:c>
      <x:c r="J6" s="85" t="n">
        <x:f>POWER(2,32-VALUE(SUBSTITUTE(C6,"/","")))-2</x:f>
        <x:v>510</x:v>
      </x:c>
      <x:c r="K6" s="85" t="n">
        <x:f>J6-B6</x:f>
        <x:v>180</x:v>
      </x:c>
      <x:c r="L6" s="86" t="n">
        <x:f>B6/J6</x:f>
        <x:v>0.6470588235294118</x:v>
      </x:c>
    </x:row>
    <x:row r="7">
      <x:c r="A7" s="54" t="str">
        <x:v>Invitados</x:v>
      </x:c>
      <x:c r="B7" s="87" t="n">
        <x:v>300</x:v>
      </x:c>
      <x:c r="C7" s="87" t="str">
        <x:v>/23</x:v>
      </x:c>
      <x:c r="D7" s="87" t="str">
        <x:v>255.255.254.0</x:v>
      </x:c>
      <x:c r="E7" s="87" t="str">
        <x:v>172.23.26.0</x:v>
      </x:c>
      <x:c r="F7" s="87" t="str">
        <x:v>172.23.26.1</x:v>
      </x:c>
      <x:c r="G7" s="87" t="str">
        <x:v>172.23.27.254</x:v>
      </x:c>
      <x:c r="H7" s="87" t="str">
        <x:v>172.23.27.255</x:v>
      </x:c>
      <x:c r="I7" s="87" t="str">
        <x:v>172.23.26.1</x:v>
      </x:c>
      <x:c r="J7" s="87" t="n">
        <x:f>POWER(2,32-VALUE(SUBSTITUTE(C7,"/","")))-2</x:f>
        <x:v>510</x:v>
      </x:c>
      <x:c r="K7" s="87" t="n">
        <x:f>J7-B7</x:f>
        <x:v>210</x:v>
      </x:c>
      <x:c r="L7" s="88" t="n">
        <x:f>B7/J7</x:f>
        <x:v>0.5882352941176471</x:v>
      </x:c>
    </x:row>
    <x:row r="8">
      <x:c r="A8" s="80" t="str">
        <x:v>Entrenadores</x:v>
      </x:c>
      <x:c r="B8" s="89" t="n">
        <x:v>40</x:v>
      </x:c>
      <x:c r="C8" s="89" t="str">
        <x:v>/26</x:v>
      </x:c>
      <x:c r="D8" s="89" t="str">
        <x:v>255.255.255.192</x:v>
      </x:c>
      <x:c r="E8" s="89" t="str">
        <x:v>172.23.28.64</x:v>
      </x:c>
      <x:c r="F8" s="89" t="str">
        <x:v>172.23.28.65</x:v>
      </x:c>
      <x:c r="G8" s="89" t="str">
        <x:v>172.23.28.126</x:v>
      </x:c>
      <x:c r="H8" s="89" t="str">
        <x:v>172.23.28.127</x:v>
      </x:c>
      <x:c r="I8" s="89" t="str">
        <x:v>172.23.28.65</x:v>
      </x:c>
      <x:c r="J8" s="89" t="n">
        <x:f>POWER(2,32-VALUE(SUBSTITUTE(C8,"/","")))-2</x:f>
        <x:v>62</x:v>
      </x:c>
      <x:c r="K8" s="89" t="n">
        <x:f>J8-B8</x:f>
        <x:v>22</x:v>
      </x:c>
      <x:c r="L8" s="90" t="n">
        <x:f>B8/J8</x:f>
        <x:v>0.6451612903225806</x:v>
      </x:c>
    </x:row>
    <x:row r="9">
      <x:c r="A9" s="54" t="str">
        <x:v>Prensa</x:v>
      </x:c>
      <x:c r="B9" s="87" t="n">
        <x:v>32</x:v>
      </x:c>
      <x:c r="C9" s="87" t="str">
        <x:v>/26</x:v>
      </x:c>
      <x:c r="D9" s="87" t="str">
        <x:v>255.255.255.192</x:v>
      </x:c>
      <x:c r="E9" s="87" t="str">
        <x:v>172.23.28.128</x:v>
      </x:c>
      <x:c r="F9" s="87" t="str">
        <x:v>172.23.28.129</x:v>
      </x:c>
      <x:c r="G9" s="87" t="str">
        <x:v>172.23.28.190</x:v>
      </x:c>
      <x:c r="H9" s="87" t="str">
        <x:v>172.23.28.191</x:v>
      </x:c>
      <x:c r="I9" s="87" t="str">
        <x:v>172.23.28.129</x:v>
      </x:c>
      <x:c r="J9" s="87" t="n">
        <x:f>POWER(2,32-VALUE(SUBSTITUTE(C9,"/","")))-2</x:f>
        <x:v>62</x:v>
      </x:c>
      <x:c r="K9" s="87" t="n">
        <x:f>J9-B9</x:f>
        <x:v>30</x:v>
      </x:c>
      <x:c r="L9" s="88" t="n">
        <x:f>B9/J9</x:f>
        <x:v>0.5161290322580645</x:v>
      </x:c>
    </x:row>
    <x:row r="10">
      <x:c r="A10" s="80" t="str">
        <x:v>Infraestructura</x:v>
      </x:c>
      <x:c r="B10" s="89" t="n">
        <x:v>30</x:v>
      </x:c>
      <x:c r="C10" s="89" t="str">
        <x:v>/27</x:v>
      </x:c>
      <x:c r="D10" s="89" t="str">
        <x:v>255.255.255.224</x:v>
      </x:c>
      <x:c r="E10" s="89" t="str">
        <x:v>172.23.28.192</x:v>
      </x:c>
      <x:c r="F10" s="89" t="str">
        <x:v>172.23.28.193</x:v>
      </x:c>
      <x:c r="G10" s="89" t="str">
        <x:v>172.23.28.222</x:v>
      </x:c>
      <x:c r="H10" s="89" t="str">
        <x:v>172.23.28.223</x:v>
      </x:c>
      <x:c r="I10" s="89" t="str">
        <x:v>172.23.28.193</x:v>
      </x:c>
      <x:c r="J10" s="89" t="n">
        <x:f>POWER(2,32-VALUE(SUBSTITUTE(C10,"/","")))-2</x:f>
        <x:v>30</x:v>
      </x:c>
      <x:c r="K10" s="89" t="n">
        <x:f>J10-B10</x:f>
        <x:v>0</x:v>
      </x:c>
      <x:c r="L10" s="90" t="n">
        <x:f>B10/J10</x:f>
        <x:v>1</x:v>
      </x:c>
    </x:row>
    <x:row r="11">
      <x:c r="A11" s="54" t="str">
        <x:v>Jueces</x:v>
      </x:c>
      <x:c r="B11" s="87" t="n">
        <x:v>10</x:v>
      </x:c>
      <x:c r="C11" s="87" t="str">
        <x:v>/27</x:v>
      </x:c>
      <x:c r="D11" s="87" t="str">
        <x:v>255.255.255.224</x:v>
      </x:c>
      <x:c r="E11" s="87" t="str">
        <x:v>172.23.28.0</x:v>
      </x:c>
      <x:c r="F11" s="87" t="str">
        <x:v>172.23.28.1</x:v>
      </x:c>
      <x:c r="G11" s="87" t="str">
        <x:v>172.23.28.30</x:v>
      </x:c>
      <x:c r="H11" s="87" t="str">
        <x:v>172.23.28.31</x:v>
      </x:c>
      <x:c r="I11" s="87" t="str">
        <x:v>172.23.28.1</x:v>
      </x:c>
      <x:c r="J11" s="87" t="n">
        <x:f>POWER(2,32-VALUE(SUBSTITUTE(C11,"/","")))-2</x:f>
        <x:v>30</x:v>
      </x:c>
      <x:c r="K11" s="87" t="n">
        <x:f>J11-B11</x:f>
        <x:v>20</x:v>
      </x:c>
      <x:c r="L11" s="88" t="n">
        <x:f>B11/J11</x:f>
        <x:v>0.3333333333333333</x:v>
      </x:c>
    </x:row>
    <x:row r="12">
      <x:c r="A12" s="80" t="str">
        <x:v>Servidores</x:v>
      </x:c>
      <x:c r="B12" s="89" t="n">
        <x:v>6</x:v>
      </x:c>
      <x:c r="C12" s="89" t="str">
        <x:v>/29</x:v>
      </x:c>
      <x:c r="D12" s="89" t="str">
        <x:v>255.255.255.248</x:v>
      </x:c>
      <x:c r="E12" s="89" t="str">
        <x:v>172.23.28.224</x:v>
      </x:c>
      <x:c r="F12" s="89" t="str">
        <x:v>172.23.28.225</x:v>
      </x:c>
      <x:c r="G12" s="89" t="str">
        <x:v>172.23.28.230</x:v>
      </x:c>
      <x:c r="H12" s="89" t="str">
        <x:v>172.23.28.231</x:v>
      </x:c>
      <x:c r="I12" s="89" t="str">
        <x:v>172.23.28.225</x:v>
      </x:c>
      <x:c r="J12" s="89" t="n">
        <x:f>POWER(2,32-VALUE(SUBSTITUTE(C12,"/","")))-2</x:f>
        <x:v>6</x:v>
      </x:c>
      <x:c r="K12" s="89" t="n">
        <x:f>J12-B12</x:f>
        <x:v>0</x:v>
      </x:c>
      <x:c r="L12" s="90" t="n">
        <x:f>B12/J12</x:f>
        <x:v>1</x:v>
      </x:c>
    </x:row>
    <x:row r="13">
      <x:c r="A13" s="55" t="str">
        <x:v>Tránsito Alumnos–Frontera</x:v>
      </x:c>
      <x:c r="B13" s="91" t="n">
        <x:v>2</x:v>
      </x:c>
      <x:c r="C13" s="91" t="str">
        <x:v>/30</x:v>
      </x:c>
      <x:c r="D13" s="91" t="str">
        <x:v>255.255.255.252</x:v>
      </x:c>
      <x:c r="E13" s="91" t="str">
        <x:v>172.23.28.232</x:v>
      </x:c>
      <x:c r="F13" s="91" t="str">
        <x:v>172.23.28.233</x:v>
      </x:c>
      <x:c r="G13" s="91" t="str">
        <x:v>172.23.28.234</x:v>
      </x:c>
      <x:c r="H13" s="91" t="str">
        <x:v>172.23.28.235</x:v>
      </x:c>
      <x:c r="I13" s="91" t="str">
        <x:v>Punto a punto</x:v>
      </x:c>
      <x:c r="J13" s="91" t="n">
        <x:f>POWER(2,32-VALUE(SUBSTITUTE(C13,"/","")))-2</x:f>
        <x:v>2</x:v>
      </x:c>
      <x:c r="K13" s="91" t="n">
        <x:f>J13-B13</x:f>
        <x:v>0</x:v>
      </x:c>
      <x:c r="L13" s="92" t="n">
        <x:f>B13/J13</x:f>
        <x:v>1</x:v>
      </x:c>
    </x:row>
    <x:row r="15" ht="24" customHeight="1">
      <x:c r="A15" s="12" t="str">
        <x:v>Resumen de capacidad</x:v>
      </x:c>
    </x:row>
    <x:row r="16">
      <x:c r="A16" s="23" t="str">
        <x:v>Indicador</x:v>
      </x:c>
      <x:c r="B16" s="24" t="str">
        <x:v>Valor</x:v>
      </x:c>
      <x:c r="C16" s="24" t="str">
        <x:v>Descripción</x:v>
      </x:c>
      <x:c r="D16" s="24"/>
      <x:c r="E16" s="24"/>
      <x:c r="F16" s="25"/>
    </x:row>
    <x:row r="17">
      <x:c r="A17" s="44" t="str">
        <x:v>Hosts requeridos</x:v>
      </x:c>
      <x:c r="B17" s="45" t="n">
        <x:f>SUM(B6:B13)</x:f>
        <x:v>750</x:v>
      </x:c>
      <x:c r="C17" s="45" t="str">
        <x:v>Suma de dispositivos e interfaces considerados</x:v>
      </x:c>
      <x:c r="D17" s="45"/>
      <x:c r="E17" s="45"/>
      <x:c r="F17" s="46"/>
    </x:row>
    <x:row r="18">
      <x:c r="A18" s="47" t="str">
        <x:v>Hosts útiles asignados</x:v>
      </x:c>
      <x:c r="B18" s="48" t="n">
        <x:f>SUM(J6:J13)</x:f>
        <x:v>1212</x:v>
      </x:c>
      <x:c r="C18" s="48" t="str">
        <x:v>Capacidad utilizable de las subredes propuestas</x:v>
      </x:c>
      <x:c r="D18" s="48"/>
      <x:c r="E18" s="48"/>
      <x:c r="F18" s="49"/>
    </x:row>
    <x:row r="19">
      <x:c r="A19" s="50" t="str">
        <x:v>Direcciones del bloque sin asignar</x:v>
      </x:c>
      <x:c r="B19" s="51" t="n">
        <x:f>2048-SUM(J6:J13)-16</x:f>
        <x:v>820</x:v>
      </x:c>
      <x:c r="C19" s="51" t="str">
        <x:v>Espacio disponible para crecimiento futuro</x:v>
      </x:c>
      <x:c r="D19" s="51"/>
      <x:c r="E19" s="51"/>
      <x:c r="F19" s="52"/>
    </x:row>
  </x:sheetData>
  <x:mergeCells>
    <x:mergeCell ref="A1:L2"/>
    <x:mergeCell ref="A3:L3"/>
    <x:mergeCell ref="A15:L15"/>
    <x:mergeCell ref="C17:F17"/>
    <x:mergeCell ref="C18:F18"/>
    <x:mergeCell ref="C19:F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9" hidden="0" customWidth="1"/>
    <x:col min="4" max="4" width="20" hidden="0" customWidth="1"/>
    <x:col min="5" max="5" width="20" hidden="0" customWidth="1"/>
    <x:col min="6" max="6" width="17" hidden="0" customWidth="1"/>
    <x:col min="7" max="7" width="22" hidden="0" customWidth="1"/>
    <x:col min="8" max="8" width="24" hidden="0" customWidth="1"/>
    <x:col min="9" max="9" width="24" hidden="0" customWidth="1"/>
    <x:col min="10" max="10" width="28" hidden="0" customWidth="1"/>
  </x:cols>
  <x:sheetData>
    <x:row r="1" ht="34" customHeight="1">
      <x:c r="A1" s="4" t="str">
        <x:v>Asignación operativa por segmento</x:v>
      </x:c>
    </x:row>
    <x:row r="2" ht="34" customHeight="1"/>
    <x:row r="4" ht="42" customHeight="1">
      <x:c r="A4" s="23" t="str">
        <x:v>Segmento</x:v>
      </x:c>
      <x:c r="B4" s="24" t="str">
        <x:v>VLAN</x:v>
      </x:c>
      <x:c r="C4" s="24" t="str">
        <x:v>Gateway</x:v>
      </x:c>
      <x:c r="D4" s="24" t="str">
        <x:v>DHCP / IP inicial</x:v>
      </x:c>
      <x:c r="E4" s="24" t="str">
        <x:v>DHCP / IP final</x:v>
      </x:c>
      <x:c r="F4" s="24" t="str">
        <x:v>DNS</x:v>
      </x:c>
      <x:c r="G4" s="24" t="str">
        <x:v>Uso principal</x:v>
      </x:c>
      <x:c r="H4" s="24" t="str">
        <x:v>Edificios / espacios</x:v>
      </x:c>
      <x:c r="I4" s="24" t="str">
        <x:v>Acceso</x:v>
      </x:c>
      <x:c r="J4" s="25" t="str">
        <x:v>Observaciones</x:v>
      </x:c>
    </x:row>
    <x:row r="5" ht="38" customHeight="1">
      <x:c r="A5" s="76" t="str">
        <x:v>Concursantes</x:v>
      </x:c>
      <x:c r="B5" s="77" t="str">
        <x:v>Acceso router Alumnos</x:v>
      </x:c>
      <x:c r="C5" s="77" t="str">
        <x:v>172.23.24.1</x:v>
      </x:c>
      <x:c r="D5" s="77" t="str">
        <x:v>172.23.24.10</x:v>
      </x:c>
      <x:c r="E5" s="77" t="str">
        <x:v>172.23.25.254</x:v>
      </x:c>
      <x:c r="F5" s="77" t="str">
        <x:v>172.23.28.226</x:v>
      </x:c>
      <x:c r="G5" s="77" t="str">
        <x:v>Equipos de examen</x:v>
      </x:c>
      <x:c r="H5" s="77" t="str">
        <x:v>CIT, ENH y EIC</x:v>
      </x:c>
      <x:c r="I5" s="77" t="str">
        <x:v>Internet y servicios autorizados</x:v>
      </x:c>
      <x:c r="J5" s="93" t="str">
        <x:v>Red /23 para máximo simultáneo de 330</x:v>
      </x:c>
    </x:row>
    <x:row r="6" ht="38" customHeight="1">
      <x:c r="A6" s="54" t="str">
        <x:v>Invitados</x:v>
      </x:c>
      <x:c r="B6" s="57" t="n">
        <x:v>40</x:v>
      </x:c>
      <x:c r="C6" s="57" t="str">
        <x:v>172.23.26.1</x:v>
      </x:c>
      <x:c r="D6" s="57" t="str">
        <x:v>172.23.26.10</x:v>
      </x:c>
      <x:c r="E6" s="57" t="str">
        <x:v>172.23.27.254</x:v>
      </x:c>
      <x:c r="F6" s="57" t="str">
        <x:v>172.23.28.226</x:v>
      </x:c>
      <x:c r="G6" s="57" t="str">
        <x:v>Invitados y áreas de espera</x:v>
      </x:c>
      <x:c r="H6" s="57" t="str">
        <x:v>Sala Borrego, Domo y primer piso CIT</x:v>
      </x:c>
      <x:c r="I6" s="57" t="str">
        <x:v>Internet; aislado de concursantes</x:v>
      </x:c>
      <x:c r="J6" s="94" t="str">
        <x:v>Capacidad aproximada para 300 invitados</x:v>
      </x:c>
    </x:row>
    <x:row r="7" ht="38" customHeight="1">
      <x:c r="A7" s="80" t="str">
        <x:v>Jueces</x:v>
      </x:c>
      <x:c r="B7" s="81" t="n">
        <x:v>10</x:v>
      </x:c>
      <x:c r="C7" s="81" t="str">
        <x:v>172.23.28.1</x:v>
      </x:c>
      <x:c r="D7" s="81" t="str">
        <x:v>172.23.28.10</x:v>
      </x:c>
      <x:c r="E7" s="81" t="str">
        <x:v>172.23.28.30</x:v>
      </x:c>
      <x:c r="F7" s="81" t="str">
        <x:v>172.23.28.226</x:v>
      </x:c>
      <x:c r="G7" s="81" t="str">
        <x:v>Jueces y personal IT</x:v>
      </x:c>
      <x:c r="H7" s="81" t="str">
        <x:v>Laboratorio de IA</x:v>
      </x:c>
      <x:c r="I7" s="81" t="str">
        <x:v>Servicios administrativos autorizados</x:v>
      </x:c>
      <x:c r="J7" s="95" t="str">
        <x:v>Direcciones reservadas para gestión</x:v>
      </x:c>
    </x:row>
    <x:row r="8" ht="38" customHeight="1">
      <x:c r="A8" s="54" t="str">
        <x:v>Entrenadores</x:v>
      </x:c>
      <x:c r="B8" s="57" t="n">
        <x:v>20</x:v>
      </x:c>
      <x:c r="C8" s="57" t="str">
        <x:v>172.23.28.65</x:v>
      </x:c>
      <x:c r="D8" s="57" t="str">
        <x:v>172.23.28.70</x:v>
      </x:c>
      <x:c r="E8" s="57" t="str">
        <x:v>172.23.28.126</x:v>
      </x:c>
      <x:c r="F8" s="57" t="str">
        <x:v>172.23.28.226</x:v>
      </x:c>
      <x:c r="G8" s="57" t="str">
        <x:v>Entrenadores</x:v>
      </x:c>
      <x:c r="H8" s="57" t="str">
        <x:v>Salón 7101</x:v>
      </x:c>
      <x:c r="I8" s="57" t="str">
        <x:v>Internet; aislado de concursantes</x:v>
      </x:c>
      <x:c r="J8" s="94" t="str">
        <x:v>Hasta 40 usuarios</x:v>
      </x:c>
    </x:row>
    <x:row r="9" ht="38" customHeight="1">
      <x:c r="A9" s="80" t="str">
        <x:v>Prensa</x:v>
      </x:c>
      <x:c r="B9" s="81" t="n">
        <x:v>30</x:v>
      </x:c>
      <x:c r="C9" s="81" t="str">
        <x:v>172.23.28.129</x:v>
      </x:c>
      <x:c r="D9" s="81" t="str">
        <x:v>172.23.28.135</x:v>
      </x:c>
      <x:c r="E9" s="81" t="str">
        <x:v>172.23.28.190</x:v>
      </x:c>
      <x:c r="F9" s="81" t="str">
        <x:v>172.23.28.226</x:v>
      </x:c>
      <x:c r="G9" s="81" t="str">
        <x:v>Reporteros</x:v>
      </x:c>
      <x:c r="H9" s="81" t="str">
        <x:v>Sala Consejo</x:v>
      </x:c>
      <x:c r="I9" s="81" t="str">
        <x:v>Internet; aislado de concursantes</x:v>
      </x:c>
      <x:c r="J9" s="95" t="str">
        <x:v>Hasta 32 usuarios</x:v>
      </x:c>
    </x:row>
    <x:row r="10" ht="38" customHeight="1">
      <x:c r="A10" s="54" t="str">
        <x:v>Infraestructura</x:v>
      </x:c>
      <x:c r="B10" s="57" t="n">
        <x:v>60</x:v>
      </x:c>
      <x:c r="C10" s="57" t="str">
        <x:v>172.23.28.193</x:v>
      </x:c>
      <x:c r="D10" s="57" t="str">
        <x:v>172.23.28.194</x:v>
      </x:c>
      <x:c r="E10" s="57" t="str">
        <x:v>172.23.28.222</x:v>
      </x:c>
      <x:c r="F10" s="57" t="str">
        <x:v>172.23.28.226</x:v>
      </x:c>
      <x:c r="G10" s="57" t="str">
        <x:v>Gestión de red</x:v>
      </x:c>
      <x:c r="H10" s="57" t="str">
        <x:v>Closets y racks</x:v>
      </x:c>
      <x:c r="I10" s="57" t="str">
        <x:v>Administración restringida</x:v>
      </x:c>
      <x:c r="J10" s="94" t="str">
        <x:v>Switches, AP y equipos de gestión</x:v>
      </x:c>
    </x:row>
    <x:row r="11" ht="38" customHeight="1">
      <x:c r="A11" s="80" t="str">
        <x:v>Servidores</x:v>
      </x:c>
      <x:c r="B11" s="81" t="n">
        <x:v>70</x:v>
      </x:c>
      <x:c r="C11" s="81" t="str">
        <x:v>172.23.28.225</x:v>
      </x:c>
      <x:c r="D11" s="81" t="str">
        <x:v>Estática: 172.23.28.226</x:v>
      </x:c>
      <x:c r="E11" s="81" t="str">
        <x:v>Estática: 172.23.28.230</x:v>
      </x:c>
      <x:c r="F11" s="81" t="str">
        <x:v>172.23.28.226</x:v>
      </x:c>
      <x:c r="G11" s="81" t="str">
        <x:v>DHCP, DNS y servicios</x:v>
      </x:c>
      <x:c r="H11" s="81" t="str">
        <x:v>CIT-MDF-P1</x:v>
      </x:c>
      <x:c r="I11" s="81" t="str">
        <x:v>Acceso controlado</x:v>
      </x:c>
      <x:c r="J11" s="95" t="str">
        <x:v>Servidor unificado DHCP-DNS-OMI</x:v>
      </x:c>
    </x:row>
    <x:row r="12" ht="38" customHeight="1">
      <x:c r="A12" s="55" t="str">
        <x:v>Tránsito</x:v>
      </x:c>
      <x:c r="B12" s="83" t="str">
        <x:v>N/A</x:v>
      </x:c>
      <x:c r="C12" s="83" t="str">
        <x:v>N/A</x:v>
      </x:c>
      <x:c r="D12" s="83" t="str">
        <x:v>172.23.28.233</x:v>
      </x:c>
      <x:c r="E12" s="83" t="str">
        <x:v>172.23.28.234</x:v>
      </x:c>
      <x:c r="F12" s="83" t="str">
        <x:v>N/A</x:v>
      </x:c>
      <x:c r="G12" s="83" t="str">
        <x:v>Enlace punto a punto</x:v>
      </x:c>
      <x:c r="H12" s="83" t="str">
        <x:v>Alumnos–Frontera</x:v>
      </x:c>
      <x:c r="I12" s="83" t="str">
        <x:v>Enrutamiento EIGRP</x:v>
      </x:c>
      <x:c r="J12" s="96" t="str">
        <x:v>/30 sin DHCP</x:v>
      </x:c>
    </x:row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4" t="str">
        <x:v>Argumentación del diseño lógico</x:v>
      </x:c>
    </x:row>
    <x:row r="2" ht="34" customHeight="1"/>
    <x:row r="4" ht="24" customHeight="1">
      <x:c r="A4" s="12" t="str">
        <x:v>Bloque asignado</x:v>
      </x:c>
    </x:row>
    <x:row r="5">
      <x:c r="A5" s="57" t="str">
        <x:v>El Equipo 04 debe utilizar 172.23.24.0/21. Este bloque privado contiene 2,048 direcciones y cubre las necesidades identificadas mediante VLSM. Las subredes de mayor tamaño se asignan primero y las redes pequeñas usan prefijos más largos, reduciendo desperdicio y permitiendo reservar espacio para crecimiento.</x:v>
      </x:c>
      <x:c r="B5" s="57"/>
      <x:c r="C5" s="57"/>
      <x:c r="D5" s="57"/>
      <x:c r="E5" s="57"/>
      <x:c r="F5" s="57"/>
      <x:c r="G5" s="57"/>
      <x:c r="H5" s="57"/>
    </x:row>
    <x:row r="6">
      <x:c r="A6" s="57"/>
      <x:c r="B6" s="57"/>
      <x:c r="C6" s="57"/>
      <x:c r="D6" s="57"/>
      <x:c r="E6" s="57"/>
      <x:c r="F6" s="57"/>
      <x:c r="G6" s="57"/>
      <x:c r="H6" s="57"/>
    </x:row>
    <x:row r="7">
      <x:c r="A7" s="57"/>
      <x:c r="B7" s="57"/>
      <x:c r="C7" s="57"/>
      <x:c r="D7" s="57"/>
      <x:c r="E7" s="57"/>
      <x:c r="F7" s="57"/>
      <x:c r="G7" s="57"/>
      <x:c r="H7" s="57"/>
    </x:row>
    <x:row r="9" ht="24" customHeight="1">
      <x:c r="A9" s="12" t="str">
        <x:v>Bloque hipotético seleccionado libremente</x:v>
      </x:c>
    </x:row>
    <x:row r="10" ht="28" customHeight="1">
      <x:c r="A10" s="102" t="str">
        <x:v>Clase privada histórica</x:v>
      </x:c>
      <x:c r="B10" s="46" t="str">
        <x:v>Clase A</x:v>
      </x:c>
      <x:c r="D10" s="106" t="str">
        <x:v>Si la selección fuera libre, se elegiría 10.44.0.0/20, perteneciente históricamente al espacio privado de Clase A (10.0.0.0/8). El prefijo /20 ofrece 4,096 direcciones antes de subnetear, permite conservar el mismo esquema VLSM con mayor reserva, facilita resumir rutas y reduce la probabilidad de conflicto con redes institucionales que ya utilicen 172.16.0.0/12. Aunque actualmente se usa CIDR y no clases rígidas, indicar Clase A responde al criterio solicitado en la actividad.</x:v>
      </x:c>
      <x:c r="E10" s="106"/>
      <x:c r="F10" s="106"/>
      <x:c r="G10" s="106"/>
      <x:c r="H10" s="106"/>
    </x:row>
    <x:row r="11" ht="28" customHeight="1">
      <x:c r="A11" s="103" t="str">
        <x:v>Bloque propuesto</x:v>
      </x:c>
      <x:c r="B11" s="49" t="str">
        <x:v>10.44.0.0/20</x:v>
      </x:c>
      <x:c r="D11" s="106"/>
      <x:c r="E11" s="106"/>
      <x:c r="F11" s="106"/>
      <x:c r="G11" s="106"/>
      <x:c r="H11" s="106"/>
    </x:row>
    <x:row r="12" ht="28" customHeight="1">
      <x:c r="A12" s="103" t="str">
        <x:v>Máscara</x:v>
      </x:c>
      <x:c r="B12" s="49" t="str">
        <x:v>255.255.240.0</x:v>
      </x:c>
      <x:c r="D12" s="106"/>
      <x:c r="E12" s="106"/>
      <x:c r="F12" s="106"/>
      <x:c r="G12" s="106"/>
      <x:c r="H12" s="106"/>
    </x:row>
    <x:row r="13" ht="28" customHeight="1">
      <x:c r="A13" s="103" t="str">
        <x:v>Direcciones totales</x:v>
      </x:c>
      <x:c r="B13" s="49" t="n">
        <x:v>4096</x:v>
      </x:c>
      <x:c r="D13" s="106"/>
      <x:c r="E13" s="106"/>
      <x:c r="F13" s="106"/>
      <x:c r="G13" s="106"/>
      <x:c r="H13" s="106"/>
    </x:row>
    <x:row r="14" ht="28" customHeight="1">
      <x:c r="A14" s="104" t="str">
        <x:v>Motivo principal</x:v>
      </x:c>
      <x:c r="B14" s="52" t="str">
        <x:v>Mayor crecimiento y agregación sencilla</x:v>
      </x:c>
      <x:c r="D14" s="106"/>
      <x:c r="E14" s="106"/>
      <x:c r="F14" s="106"/>
      <x:c r="G14" s="106"/>
      <x:c r="H14" s="106"/>
    </x:row>
    <x:row r="16" ht="24" customHeight="1">
      <x:c r="A16" s="12" t="str">
        <x:v>Criterios aplicados</x:v>
      </x:c>
    </x:row>
    <x:row r="17">
      <x:c r="A17" s="113" t="str">
        <x:v>1</x:v>
      </x:c>
      <x:c r="B17" s="119" t="str">
        <x:v>Ordenamiento</x:v>
      </x:c>
      <x:c r="C17" s="45" t="str">
        <x:v>Las subredes se presentan de mayor a menor cantidad de hosts requeridos.</x:v>
      </x:c>
      <x:c r="D17" s="45"/>
      <x:c r="E17" s="45"/>
      <x:c r="F17" s="45"/>
      <x:c r="G17" s="45"/>
      <x:c r="H17" s="46"/>
    </x:row>
    <x:row r="18">
      <x:c r="A18" s="114" t="str">
        <x:v>2</x:v>
      </x:c>
      <x:c r="B18" s="120" t="str">
        <x:v>Capacidad</x:v>
      </x:c>
      <x:c r="C18" s="48" t="str">
        <x:v>Cada segmento incluye direcciones para terminales, gateway y administración.</x:v>
      </x:c>
      <x:c r="D18" s="48"/>
      <x:c r="E18" s="48"/>
      <x:c r="F18" s="48"/>
      <x:c r="G18" s="48"/>
      <x:c r="H18" s="49"/>
    </x:row>
    <x:row r="19">
      <x:c r="A19" s="114" t="str">
        <x:v>3</x:v>
      </x:c>
      <x:c r="B19" s="120" t="str">
        <x:v>Separación</x:v>
      </x:c>
      <x:c r="C19" s="48" t="str">
        <x:v>VLAN y subredes independientes limitan tráfico lateral entre perfiles.</x:v>
      </x:c>
      <x:c r="D19" s="48"/>
      <x:c r="E19" s="48"/>
      <x:c r="F19" s="48"/>
      <x:c r="G19" s="48"/>
      <x:c r="H19" s="49"/>
    </x:row>
    <x:row r="20">
      <x:c r="A20" s="114" t="str">
        <x:v>4</x:v>
      </x:c>
      <x:c r="B20" s="120" t="str">
        <x:v>Crecimiento</x:v>
      </x:c>
      <x:c r="C20" s="48" t="str">
        <x:v>El bloque conserva direcciones sin asignar para ampliaciones y contingencias.</x:v>
      </x:c>
      <x:c r="D20" s="48"/>
      <x:c r="E20" s="48"/>
      <x:c r="F20" s="48"/>
      <x:c r="G20" s="48"/>
      <x:c r="H20" s="49"/>
    </x:row>
    <x:row r="21">
      <x:c r="A21" s="115" t="str">
        <x:v>5</x:v>
      </x:c>
      <x:c r="B21" s="121" t="str">
        <x:v>Operación</x:v>
      </x:c>
      <x:c r="C21" s="51" t="str">
        <x:v>DHCP y DNS centralizados simplifican configuración y soporte durante el evento.</x:v>
      </x:c>
      <x:c r="D21" s="51"/>
      <x:c r="E21" s="51"/>
      <x:c r="F21" s="51"/>
      <x:c r="G21" s="51"/>
      <x:c r="H21" s="52"/>
    </x:row>
  </x:sheetData>
  <x:mergeCells>
    <x:mergeCell ref="A1:H2"/>
    <x:mergeCell ref="A4:H4"/>
    <x:mergeCell ref="A5:H7"/>
    <x:mergeCell ref="A9:H9"/>
    <x:mergeCell ref="D10:H14"/>
    <x:mergeCell ref="A16:H16"/>
    <x:mergeCell ref="C17:H17"/>
    <x:mergeCell ref="C18:H18"/>
    <x:mergeCell ref="C19:H19"/>
    <x:mergeCell ref="C20:H20"/>
    <x:mergeCell ref="C21:H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1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4" t="str">
        <x:v>Comprobaciones del diseño VLSM</x:v>
      </x:c>
    </x:row>
    <x:row r="2" ht="34" customHeight="1"/>
    <x:row r="4">
      <x:c r="A4" s="23" t="str">
        <x:v>Control</x:v>
      </x:c>
      <x:c r="B4" s="24" t="str">
        <x:v>Resultado</x:v>
      </x:c>
      <x:c r="C4" s="24" t="str">
        <x:v>Estado</x:v>
      </x:c>
      <x:c r="D4" s="24" t="str">
        <x:v>Criterio</x:v>
      </x:c>
      <x:c r="E4" s="24" t="str">
        <x:v>Detalle</x:v>
      </x:c>
      <x:c r="F4" s="24"/>
      <x:c r="G4" s="24"/>
      <x:c r="H4" s="25"/>
    </x:row>
    <x:row r="5">
      <x:c r="A5" s="44" t="str">
        <x:v>Bloque asignado</x:v>
      </x:c>
      <x:c r="B5" s="45" t="str">
        <x:v>172.23.24.0/21</x:v>
      </x:c>
      <x:c r="C5" s="128" t="str">
        <x:v>OK</x:v>
      </x:c>
      <x:c r="D5" s="45" t="str">
        <x:v>Todas las redes permanecen dentro del rango</x:v>
      </x:c>
      <x:c r="E5" s="45" t="str">
        <x:v>Rango permitido: 172.23.24.0 a 172.23.31.255</x:v>
      </x:c>
      <x:c r="F5" s="45"/>
      <x:c r="G5" s="45"/>
      <x:c r="H5" s="46"/>
    </x:row>
    <x:row r="6">
      <x:c r="A6" s="47" t="str">
        <x:v>Traslapes</x:v>
      </x:c>
      <x:c r="B6" s="48" t="str">
        <x:v>Ninguno</x:v>
      </x:c>
      <x:c r="C6" s="129" t="str">
        <x:v>OK</x:v>
      </x:c>
      <x:c r="D6" s="48" t="str">
        <x:v>Las direcciones de red y broadcast no se cruzan</x:v>
      </x:c>
      <x:c r="E6" s="48" t="str">
        <x:v>Validado contra los ocho segmentos</x:v>
      </x:c>
      <x:c r="F6" s="48"/>
      <x:c r="G6" s="48"/>
      <x:c r="H6" s="49"/>
    </x:row>
    <x:row r="7">
      <x:c r="A7" s="47" t="str">
        <x:v>Capacidad concursantes</x:v>
      </x:c>
      <x:c r="B7" s="48" t="str">
        <x:v>510 útiles para 330 requeridos</x:v>
      </x:c>
      <x:c r="C7" s="129" t="str">
        <x:v>OK</x:v>
      </x:c>
      <x:c r="D7" s="48" t="str">
        <x:v>La red soporta el máximo simultáneo</x:v>
      </x:c>
      <x:c r="E7" s="48" t="str">
        <x:v>Reserva de 180 hosts</x:v>
      </x:c>
      <x:c r="F7" s="48"/>
      <x:c r="G7" s="48"/>
      <x:c r="H7" s="49"/>
    </x:row>
    <x:row r="8">
      <x:c r="A8" s="47" t="str">
        <x:v>Capacidad invitados</x:v>
      </x:c>
      <x:c r="B8" s="48" t="str">
        <x:v>510 útiles para ~300 requeridos</x:v>
      </x:c>
      <x:c r="C8" s="129" t="str">
        <x:v>OK</x:v>
      </x:c>
      <x:c r="D8" s="48" t="str">
        <x:v>Existe margen operativo</x:v>
      </x:c>
      <x:c r="E8" s="48" t="str">
        <x:v>Reserva de 210 hosts</x:v>
      </x:c>
      <x:c r="F8" s="48"/>
      <x:c r="G8" s="48"/>
      <x:c r="H8" s="49"/>
    </x:row>
    <x:row r="9">
      <x:c r="A9" s="47" t="str">
        <x:v>Subred mínima</x:v>
      </x:c>
      <x:c r="B9" s="48" t="str">
        <x:v>/30 para tránsito</x:v>
      </x:c>
      <x:c r="C9" s="129" t="str">
        <x:v>OK</x:v>
      </x:c>
      <x:c r="D9" s="48" t="str">
        <x:v>Dos direcciones útiles</x:v>
      </x:c>
      <x:c r="E9" s="48" t="str">
        <x:v>Una dirección por interfaz de router</x:v>
      </x:c>
      <x:c r="F9" s="48"/>
      <x:c r="G9" s="48"/>
      <x:c r="H9" s="49"/>
    </x:row>
    <x:row r="10">
      <x:c r="A10" s="50" t="str">
        <x:v>Orden VLSM</x:v>
      </x:c>
      <x:c r="B10" s="51" t="str">
        <x:v>Mayor a menor demanda</x:v>
      </x:c>
      <x:c r="C10" s="130" t="str">
        <x:v>OK</x:v>
      </x:c>
      <x:c r="D10" s="51" t="str">
        <x:v>Cumple la rúbrica</x:v>
      </x:c>
      <x:c r="E10" s="51" t="str">
        <x:v>Tabla principal ordenada por hosts requeridos</x:v>
      </x:c>
      <x:c r="F10" s="51"/>
      <x:c r="G10" s="51"/>
      <x:c r="H10" s="52"/>
    </x:row>
    <x:row r="12" ht="24" customHeight="1">
      <x:c r="A12" s="12" t="str">
        <x:v>Pendientes de entrega</x:v>
      </x:c>
    </x:row>
    <x:row r="13">
      <x:c r="A13" s="23" t="str">
        <x:v>Pendiente</x:v>
      </x:c>
      <x:c r="B13" s="24" t="str">
        <x:v>Responsable</x:v>
      </x:c>
      <x:c r="C13" s="24" t="str">
        <x:v>Estado</x:v>
      </x:c>
      <x:c r="D13" s="24" t="str">
        <x:v>Evidencia esperada</x:v>
      </x:c>
      <x:c r="E13" s="24"/>
      <x:c r="F13" s="24"/>
      <x:c r="G13" s="24"/>
      <x:c r="H13" s="25"/>
    </x:row>
    <x:row r="14">
      <x:c r="A14" s="44" t="str">
        <x:v>Agregar evidencia colaborativa</x:v>
      </x:c>
      <x:c r="B14" s="45" t="str">
        <x:v>Equipo</x:v>
      </x:c>
      <x:c r="C14" s="136" t="str">
        <x:v>Pendiente</x:v>
      </x:c>
      <x:c r="D14" s="45" t="str">
        <x:v>Captura o registro de sesión</x:v>
      </x:c>
      <x:c r="E14" s="45"/>
      <x:c r="F14" s="45"/>
      <x:c r="G14" s="45"/>
      <x:c r="H14" s="46"/>
    </x:row>
    <x:row r="15">
      <x:c r="A15" s="47" t="str">
        <x:v>Exportar este diseño a PDF</x:v>
      </x:c>
      <x:c r="B15" s="48" t="str">
        <x:v>Equipo</x:v>
      </x:c>
      <x:c r="C15" s="137" t="str">
        <x:v>Pendiente</x:v>
      </x:c>
      <x:c r="D15" s="48" t="str">
        <x:v>ActReto04.pdf</x:v>
      </x:c>
      <x:c r="E15" s="48"/>
      <x:c r="F15" s="48"/>
      <x:c r="G15" s="48"/>
      <x:c r="H15" s="49"/>
    </x:row>
    <x:row r="16">
      <x:c r="A16" s="50" t="str">
        <x:v>Presentación formal al líder del reto</x:v>
      </x:c>
      <x:c r="B16" s="51" t="str">
        <x:v>Equipo</x:v>
      </x:c>
      <x:c r="C16" s="138" t="str">
        <x:v>Pendiente</x:v>
      </x:c>
      <x:c r="D16" s="51" t="str">
        <x:v>Registro o validación</x:v>
      </x:c>
      <x:c r="E16" s="51"/>
      <x:c r="F16" s="51"/>
      <x:c r="G16" s="51"/>
      <x:c r="H16" s="52"/>
    </x:row>
  </x:sheetData>
  <x:mergeCells>
    <x:mergeCell ref="A1:H2"/>
    <x:mergeCell ref="E5:H5"/>
    <x:mergeCell ref="E6:H6"/>
    <x:mergeCell ref="E7:H7"/>
    <x:mergeCell ref="E8:H8"/>
    <x:mergeCell ref="E9:H9"/>
    <x:mergeCell ref="E10:H10"/>
    <x:mergeCell ref="A12:H12"/>
    <x:mergeCell ref="D13:H13"/>
    <x:mergeCell ref="D14:H14"/>
    <x:mergeCell ref="D15:H15"/>
    <x:mergeCell ref="D16:H16"/>
  </x:mergeCells>
  <x:pageMargins left="0.7" right="0.7" top="0.75" bottom="0.75" header="0.3" footer="0.3"/>
</x:worksheet>
</file>